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c9f64d93c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入11512" sheetId="1" r:id="R7691063c8b78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bcd8814a3435e" /><Relationship Type="http://schemas.openxmlformats.org/officeDocument/2006/relationships/theme" Target="/xl/theme/theme1.xml" Id="R1a9f592b05624375" /><Relationship Type="http://schemas.openxmlformats.org/officeDocument/2006/relationships/sharedStrings" Target="/xl/sharedStrings.xml" Id="Ra6140c1dd1464f51" /><Relationship Type="http://schemas.openxmlformats.org/officeDocument/2006/relationships/worksheet" Target="/xl/worksheets/sheet1.xml" Id="R7691063c8b7841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30" customHeight="1">
      <x:c r="A1" s="4" t="str">
        <x:v>115年12月｜散雜貨裝卸量模擬輸入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D2" t="str">
        <x:v>(115/12/1 ~ 115/12/31)</x:v>
      </x:c>
      <x:c r="H2" t="str">
        <x:v>裝卸貨物噸量 依貨物群組--含貨櫃</x:v>
      </x:c>
    </x:row>
    <x:row r="3" ht="24" customHeight="1">
      <x:c r="A3" s="8" t="str">
        <x:v>貨物群組代碼</x:v>
      </x:c>
      <x:c r="B3" s="8" t="str">
        <x:v>貨物群組名稱</x:v>
      </x:c>
      <x:c r="C3" s="8" t="str">
        <x:v>貨物代碼</x:v>
      </x:c>
      <x:c r="D3" s="8" t="str">
        <x:v>貨物名稱</x:v>
      </x:c>
      <x:c r="E3" s="8" t="str">
        <x:v>裝</x:v>
      </x:c>
      <x:c r="F3" s="8"/>
      <x:c r="G3" s="8"/>
      <x:c r="H3" s="8"/>
      <x:c r="I3" s="8" t="str">
        <x:v>卸</x:v>
      </x:c>
      <x:c r="J3" s="8"/>
      <x:c r="K3" s="8"/>
      <x:c r="L3" s="8"/>
      <x:c r="M3" s="8" t="str">
        <x:v>裝卸噸數合計</x:v>
      </x:c>
    </x:row>
    <x:row r="4" ht="24" customHeight="1">
      <x:c r="A4" s="8"/>
      <x:c r="B4" s="8"/>
      <x:c r="C4" s="8"/>
      <x:c r="D4" s="8"/>
      <x:c r="E4" s="8" t="str">
        <x:v>艘次</x:v>
      </x:c>
      <x:c r="F4" s="8" t="str">
        <x:v>噸數</x:v>
      </x:c>
      <x:c r="G4" s="8" t="str">
        <x:v>延人工時</x:v>
      </x:c>
      <x:c r="H4" s="8" t="str">
        <x:v>延機工時</x:v>
      </x:c>
      <x:c r="I4" s="8" t="str">
        <x:v>艘次</x:v>
      </x:c>
      <x:c r="J4" s="8" t="str">
        <x:v>噸數</x:v>
      </x:c>
      <x:c r="K4" s="8" t="str">
        <x:v>延人工時</x:v>
      </x:c>
      <x:c r="L4" s="8" t="str">
        <x:v>延機工時</x:v>
      </x:c>
      <x:c r="M4" s="8"/>
    </x:row>
    <x:row r="5">
      <x:c r="A5" s="12" t="str">
        <x:v>22111</x:v>
      </x:c>
      <x:c r="B5" s="12" t="str">
        <x:v>礦砂</x:v>
      </x:c>
      <x:c r="C5" s="12" t="n">
        <x:v>2211100</x:v>
      </x:c>
      <x:c r="D5" s="12" t="str">
        <x:v>其他金屬礦砂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f>F5+J5</x:f>
        <x:v>0</x:v>
      </x:c>
    </x:row>
    <x:row r="6">
      <x:c r="A6" s="12" t="str">
        <x:v>22229</x:v>
      </x:c>
      <x:c r="B6" s="12" t="str">
        <x:v>砂礫</x:v>
      </x:c>
      <x:c r="C6" s="12" t="n">
        <x:v>2222903</x:v>
      </x:c>
      <x:c r="D6" s="12" t="str">
        <x:v>東砂</x:v>
      </x:c>
      <x:c r="E6" s="10" t="n">
        <x:v>3</x:v>
      </x:c>
      <x:c r="F6" s="10" t="n">
        <x:v>5400</x:v>
      </x:c>
      <x:c r="G6" s="10" t="n">
        <x:v>154.29</x:v>
      </x:c>
      <x:c r="H6" s="10" t="n">
        <x:v>19.64</x:v>
      </x:c>
      <x:c r="I6" s="10" t="n">
        <x:v>2</x:v>
      </x:c>
      <x:c r="J6" s="10" t="n">
        <x:v>2042</x:v>
      </x:c>
      <x:c r="K6" s="10" t="n">
        <x:v>58.34</x:v>
      </x:c>
      <x:c r="L6" s="10" t="n">
        <x:v>8.62</x:v>
      </x:c>
      <x:c r="M6" s="10" t="n">
        <x:f>F6+J6</x:f>
        <x:v>7442</x:v>
      </x:c>
    </x:row>
    <x:row r="7">
      <x:c r="A7" s="12" t="str">
        <x:v>22229</x:v>
      </x:c>
      <x:c r="B7" s="12" t="str">
        <x:v>砂礫</x:v>
      </x:c>
      <x:c r="C7" s="12" t="n">
        <x:v>2222904</x:v>
      </x:c>
      <x:c r="D7" s="12" t="str">
        <x:v>東碎石</x:v>
      </x:c>
      <x:c r="E7" s="10" t="n">
        <x:v>1</x:v>
      </x:c>
      <x:c r="F7" s="10" t="n">
        <x:v>2217</x:v>
      </x:c>
      <x:c r="G7" s="10" t="n">
        <x:v>37.58</x:v>
      </x:c>
      <x:c r="H7" s="10" t="n">
        <x:v>11.09</x:v>
      </x:c>
      <x:c r="I7" s="10" t="n">
        <x:v>6</x:v>
      </x:c>
      <x:c r="J7" s="10" t="n">
        <x:v>25530</x:v>
      </x:c>
      <x:c r="K7" s="10" t="n">
        <x:v>354.58</x:v>
      </x:c>
      <x:c r="L7" s="10" t="n">
        <x:v>109.1</x:v>
      </x:c>
      <x:c r="M7" s="10" t="n">
        <x:f>F7+J7</x:f>
        <x:v>27747</x:v>
      </x:c>
    </x:row>
    <x:row r="8">
      <x:c r="A8" s="12" t="str">
        <x:v>22229</x:v>
      </x:c>
      <x:c r="B8" s="12" t="str">
        <x:v>砂礫</x:v>
      </x:c>
      <x:c r="C8" s="12" t="n">
        <x:v>2222900</x:v>
      </x:c>
      <x:c r="D8" s="12" t="str">
        <x:v>大陸砂</x:v>
      </x:c>
      <x:c r="E8" s="10" t="n">
        <x:v>2</x:v>
      </x:c>
      <x:c r="F8" s="10" t="n">
        <x:v>4986</x:v>
      </x:c>
      <x:c r="G8" s="10" t="n">
        <x:v>85.97</x:v>
      </x:c>
      <x:c r="H8" s="10" t="n">
        <x:v>23.86</x:v>
      </x:c>
      <x:c r="I8" s="10" t="n">
        <x:v>3</x:v>
      </x:c>
      <x:c r="J8" s="10" t="n">
        <x:v>7755</x:v>
      </x:c>
      <x:c r="K8" s="10" t="n">
        <x:v>146.32</x:v>
      </x:c>
      <x:c r="L8" s="10" t="n">
        <x:v>39.17</x:v>
      </x:c>
      <x:c r="M8" s="10" t="n">
        <x:f>F8+J8</x:f>
        <x:v>12741</x:v>
      </x:c>
    </x:row>
    <x:row r="9">
      <x:c r="A9" s="12" t="str">
        <x:v>23544</x:v>
      </x:c>
      <x:c r="B9" s="12" t="str">
        <x:v>鋁礬土</x:v>
      </x:c>
      <x:c r="C9" s="12" t="n">
        <x:v>2354400</x:v>
      </x:c>
      <x:c r="D9" s="12" t="str">
        <x:v>鋁礬土</x:v>
      </x:c>
      <x:c r="E9" s="10" t="n">
        <x:v>2</x:v>
      </x:c>
      <x:c r="F9" s="10" t="n">
        <x:v>2750</x:v>
      </x:c>
      <x:c r="G9" s="10" t="n">
        <x:v>55</x:v>
      </x:c>
      <x:c r="H9" s="10" t="n">
        <x:v>13.1</x:v>
      </x:c>
      <x:c r="I9" s="10" t="n">
        <x:v>2</x:v>
      </x:c>
      <x:c r="J9" s="10" t="n">
        <x:v>2594</x:v>
      </x:c>
      <x:c r="K9" s="10" t="n">
        <x:v>86.47</x:v>
      </x:c>
      <x:c r="L9" s="10" t="n">
        <x:v>12.12</x:v>
      </x:c>
      <x:c r="M9" s="10" t="n">
        <x:f>F9+J9</x:f>
        <x:v>5344</x:v>
      </x:c>
    </x:row>
    <x:row r="10">
      <x:c r="A10" s="12" t="str">
        <x:v>43110</x:v>
      </x:c>
      <x:c r="B10" s="12" t="str">
        <x:v>生鐵</x:v>
      </x:c>
      <x:c r="C10" s="12" t="n">
        <x:v>4311000</x:v>
      </x:c>
      <x:c r="D10" s="12" t="str">
        <x:v>生鐵</x:v>
      </x:c>
      <x:c r="E10" s="10" t="n">
        <x:v>0</x:v>
      </x:c>
      <x:c r="F10" s="10" t="n">
        <x:v>0</x:v>
      </x:c>
      <x:c r="G10" s="10" t="n">
        <x:v>0</x:v>
      </x:c>
      <x:c r="H10" s="10" t="n">
        <x:v>0</x:v>
      </x:c>
      <x:c r="I10" s="10" t="n">
        <x:v>4</x:v>
      </x:c>
      <x:c r="J10" s="10" t="n">
        <x:v>9376</x:v>
      </x:c>
      <x:c r="K10" s="10" t="n">
        <x:v>275.76</x:v>
      </x:c>
      <x:c r="L10" s="10" t="n">
        <x:v>35.65</x:v>
      </x:c>
      <x:c r="M10" s="10" t="n">
        <x:f>F10+J10</x:f>
        <x:v>9376</x:v>
      </x:c>
    </x:row>
    <x:row r="11">
      <x:c r="A11" s="12" t="str">
        <x:v>43340</x:v>
      </x:c>
      <x:c r="B11" s="12" t="str">
        <x:v>鐵材料</x:v>
      </x:c>
      <x:c r="C11" s="12" t="n">
        <x:v>4334000</x:v>
      </x:c>
      <x:c r="D11" s="12" t="str">
        <x:v>型鋼(鋼骨)</x:v>
      </x:c>
      <x:c r="E11" s="10" t="n">
        <x:v>2</x:v>
      </x:c>
      <x:c r="F11" s="10" t="n">
        <x:v>2004</x:v>
      </x:c>
      <x:c r="G11" s="10" t="n">
        <x:v>33.97</x:v>
      </x:c>
      <x:c r="H11" s="10" t="n">
        <x:v>7.26</x:v>
      </x:c>
      <x:c r="I11" s="10" t="n">
        <x:v>4</x:v>
      </x:c>
      <x:c r="J11" s="10" t="n">
        <x:v>9336</x:v>
      </x:c>
      <x:c r="K11" s="10" t="n">
        <x:v>129.67</x:v>
      </x:c>
      <x:c r="L11" s="10" t="n">
        <x:v>47.39</x:v>
      </x:c>
      <x:c r="M11" s="10" t="n">
        <x:f>F11+J11</x:f>
        <x:v>11340</x:v>
      </x:c>
    </x:row>
    <x:row r="12">
      <x:c r="A12" s="12" t="str">
        <x:v>43340</x:v>
      </x:c>
      <x:c r="B12" s="12" t="str">
        <x:v>鐵材料</x:v>
      </x:c>
      <x:c r="C12" s="12" t="n">
        <x:v>4334008</x:v>
      </x:c>
      <x:c r="D12" s="12" t="str">
        <x:v>鐵材料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3</x:v>
      </x:c>
      <x:c r="J12" s="10" t="n">
        <x:v>2439</x:v>
      </x:c>
      <x:c r="K12" s="10" t="n">
        <x:v>73.91</x:v>
      </x:c>
      <x:c r="L12" s="10" t="n">
        <x:v>11.4</x:v>
      </x:c>
      <x:c r="M12" s="10" t="n">
        <x:f>F12+J12</x:f>
        <x:v>2439</x:v>
      </x:c>
    </x:row>
    <x:row r="13">
      <x:c r="A13" s="12" t="str">
        <x:v>43340</x:v>
      </x:c>
      <x:c r="B13" s="12" t="str">
        <x:v>鐵材料</x:v>
      </x:c>
      <x:c r="C13" s="12" t="n">
        <x:v>4334006</x:v>
      </x:c>
      <x:c r="D13" s="12" t="str">
        <x:v>鋼管、鋼棒</x:v>
      </x:c>
      <x:c r="E13" s="10" t="n">
        <x:v>4</x:v>
      </x:c>
      <x:c r="F13" s="10" t="n">
        <x:v>7112</x:v>
      </x:c>
      <x:c r="G13" s="10" t="n">
        <x:v>142.24</x:v>
      </x:c>
      <x:c r="H13" s="10" t="n">
        <x:v>35.03</x:v>
      </x:c>
      <x:c r="I13" s="10" t="n">
        <x:v>3</x:v>
      </x:c>
      <x:c r="J13" s="10" t="n">
        <x:v>10719</x:v>
      </x:c>
      <x:c r="K13" s="10" t="n">
        <x:v>274.85</x:v>
      </x:c>
      <x:c r="L13" s="10" t="n">
        <x:v>40.15</x:v>
      </x:c>
      <x:c r="M13" s="10" t="n">
        <x:f>F13+J13</x:f>
        <x:v>17831</x:v>
      </x:c>
    </x:row>
    <x:row r="14">
      <x:c r="A14" s="12" t="str">
        <x:v>43340</x:v>
      </x:c>
      <x:c r="B14" s="12" t="str">
        <x:v>鐵材料</x:v>
      </x:c>
      <x:c r="C14" s="12" t="n">
        <x:v>4334007</x:v>
      </x:c>
      <x:c r="D14" s="12" t="str">
        <x:v>鐵圈</x:v>
      </x:c>
      <x:c r="E14" s="10" t="n">
        <x:v>1</x:v>
      </x:c>
      <x:c r="F14" s="10" t="n">
        <x:v>1793</x:v>
      </x:c>
      <x:c r="G14" s="10" t="n">
        <x:v>28.46</x:v>
      </x:c>
      <x:c r="H14" s="10" t="n">
        <x:v>11.07</x:v>
      </x:c>
      <x:c r="I14" s="10" t="n">
        <x:v>5</x:v>
      </x:c>
      <x:c r="J14" s="10" t="n">
        <x:v>13550</x:v>
      </x:c>
      <x:c r="K14" s="10" t="n">
        <x:v>215.08</x:v>
      </x:c>
      <x:c r="L14" s="10" t="n">
        <x:v>54.2</x:v>
      </x:c>
      <x:c r="M14" s="10" t="n">
        <x:f>F14+J14</x:f>
        <x:v>15343</x:v>
      </x:c>
    </x:row>
    <x:row r="15">
      <x:c r="A15" s="12" t="str">
        <x:v>43340</x:v>
      </x:c>
      <x:c r="B15" s="12" t="str">
        <x:v>鐵材料</x:v>
      </x:c>
      <x:c r="C15" s="12" t="n">
        <x:v>4334005</x:v>
      </x:c>
      <x:c r="D15" s="12" t="str">
        <x:v>鋼構</x:v>
      </x:c>
      <x:c r="E15" s="10" t="n">
        <x:v>0</x:v>
      </x:c>
      <x:c r="F15" s="10" t="n">
        <x:v>0</x:v>
      </x:c>
      <x:c r="G15" s="10" t="n">
        <x:v>0</x:v>
      </x:c>
      <x:c r="H15" s="10" t="n">
        <x:v>0</x:v>
      </x:c>
      <x:c r="I15" s="10" t="n">
        <x:v>4</x:v>
      </x:c>
      <x:c r="J15" s="10" t="n">
        <x:v>12952</x:v>
      </x:c>
      <x:c r="K15" s="10" t="n">
        <x:v>199.26</x:v>
      </x:c>
      <x:c r="L15" s="10" t="n">
        <x:v>48.33</x:v>
      </x:c>
      <x:c r="M15" s="10" t="n">
        <x:f>F15+J15</x:f>
        <x:v>12952</x:v>
      </x:c>
    </x:row>
    <x:row r="16">
      <x:c r="A16" s="12" t="str">
        <x:v>44110</x:v>
      </x:c>
      <x:c r="B16" s="12" t="str">
        <x:v>鋼料五金等</x:v>
      </x:c>
      <x:c r="C16" s="12" t="n">
        <x:v>4411021</x:v>
      </x:c>
      <x:c r="D16" s="12" t="str">
        <x:v>鋼鐵捲盤</x:v>
      </x:c>
      <x:c r="E16" s="10" t="n">
        <x:v>3</x:v>
      </x:c>
      <x:c r="F16" s="10" t="n">
        <x:v>6936</x:v>
      </x:c>
      <x:c r="G16" s="10" t="n">
        <x:v>105.09</x:v>
      </x:c>
      <x:c r="H16" s="10" t="n">
        <x:v>26.47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f>F16+J16</x:f>
        <x:v>6936</x:v>
      </x:c>
    </x:row>
    <x:row r="17">
      <x:c r="A17" s="12" t="str">
        <x:v>44110</x:v>
      </x:c>
      <x:c r="B17" s="12" t="str">
        <x:v>鋼料五金等</x:v>
      </x:c>
      <x:c r="C17" s="12" t="n">
        <x:v>4411018</x:v>
      </x:c>
      <x:c r="D17" s="12" t="str">
        <x:v>鋼料五金等</x:v>
      </x:c>
      <x:c r="E17" s="10" t="n">
        <x:v>3</x:v>
      </x:c>
      <x:c r="F17" s="10" t="n">
        <x:v>3651</x:v>
      </x:c>
      <x:c r="G17" s="10" t="n">
        <x:v>51.42</x:v>
      </x:c>
      <x:c r="H17" s="10" t="n">
        <x:v>14.72</x:v>
      </x:c>
      <x:c r="I17" s="10" t="n">
        <x:v>4</x:v>
      </x:c>
      <x:c r="J17" s="10" t="n">
        <x:v>6688</x:v>
      </x:c>
      <x:c r="K17" s="10" t="n">
        <x:v>102.89</x:v>
      </x:c>
      <x:c r="L17" s="10" t="n">
        <x:v>28.95</x:v>
      </x:c>
      <x:c r="M17" s="10" t="n">
        <x:f>F17+J17</x:f>
        <x:v>10339</x:v>
      </x:c>
    </x:row>
    <x:row r="18">
      <x:c r="A18" s="12" t="str">
        <x:v>44110</x:v>
      </x:c>
      <x:c r="B18" s="12" t="str">
        <x:v>鋼料五金等</x:v>
      </x:c>
      <x:c r="C18" s="12" t="n">
        <x:v>4411033</x:v>
      </x:c>
      <x:c r="D18" s="12" t="str">
        <x:v>鐵線圈</x:v>
      </x:c>
      <x:c r="E18" s="10" t="n">
        <x:v>1</x:v>
      </x:c>
      <x:c r="F18" s="10" t="n">
        <x:v>1388</x:v>
      </x:c>
      <x:c r="G18" s="10" t="n">
        <x:v>37.51</x:v>
      </x:c>
      <x:c r="H18" s="10" t="n">
        <x:v>4.64</x:v>
      </x:c>
      <x:c r="I18" s="10" t="n">
        <x:v>5</x:v>
      </x:c>
      <x:c r="J18" s="10" t="n">
        <x:v>2180</x:v>
      </x:c>
      <x:c r="K18" s="10" t="n">
        <x:v>55.9</x:v>
      </x:c>
      <x:c r="L18" s="10" t="n">
        <x:v>7.29</x:v>
      </x:c>
      <x:c r="M18" s="10" t="n">
        <x:f>F18+J18</x:f>
        <x:v>3568</x:v>
      </x:c>
    </x:row>
    <x:row r="19">
      <x:c r="A19" s="12" t="str">
        <x:v>44110</x:v>
      </x:c>
      <x:c r="B19" s="12" t="str">
        <x:v>鋼料五金等</x:v>
      </x:c>
      <x:c r="C19" s="12" t="n">
        <x:v>4411011</x:v>
      </x:c>
      <x:c r="D19" s="12" t="str">
        <x:v>銅製品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1</x:v>
      </x:c>
      <x:c r="J19" s="10" t="n">
        <x:v>1398</x:v>
      </x:c>
      <x:c r="K19" s="10" t="n">
        <x:v>25.42</x:v>
      </x:c>
      <x:c r="L19" s="10" t="n">
        <x:v>6.66</x:v>
      </x:c>
      <x:c r="M19" s="10" t="n">
        <x:f>F19+J19</x:f>
        <x:v>1398</x:v>
      </x:c>
    </x:row>
    <x:row r="20">
      <x:c r="A20" s="12" t="str">
        <x:v>47311</x:v>
      </x:c>
      <x:c r="B20" s="12" t="str">
        <x:v>汽車</x:v>
      </x:c>
      <x:c r="C20" s="12" t="n">
        <x:v>4731103</x:v>
      </x:c>
      <x:c r="D20" s="12" t="str">
        <x:v>特種車</x:v>
      </x:c>
      <x:c r="E20" s="10" t="n">
        <x:v>1</x:v>
      </x:c>
      <x:c r="F20" s="10" t="n">
        <x:v>2189</x:v>
      </x:c>
      <x:c r="G20" s="10" t="n">
        <x:v>33.17</x:v>
      </x:c>
      <x:c r="H20" s="10" t="n">
        <x:v>8.05</x:v>
      </x:c>
      <x:c r="I20" s="10" t="n">
        <x:v>1</x:v>
      </x:c>
      <x:c r="J20" s="10" t="n">
        <x:v>1079</x:v>
      </x:c>
      <x:c r="K20" s="10" t="n">
        <x:v>29.16</x:v>
      </x:c>
      <x:c r="L20" s="10" t="n">
        <x:v>4.46</x:v>
      </x:c>
      <x:c r="M20" s="10" t="n">
        <x:f>F20+J20</x:f>
        <x:v>3268</x:v>
      </x:c>
    </x:row>
    <x:row r="21">
      <x:c r="A21" s="12" t="str">
        <x:v>49811</x:v>
      </x:c>
      <x:c r="B21" s="12" t="str">
        <x:v>雜貨等</x:v>
      </x:c>
      <x:c r="C21" s="12" t="n">
        <x:v>4981107</x:v>
      </x:c>
      <x:c r="D21" s="12" t="str">
        <x:v>什貨</x:v>
      </x:c>
      <x:c r="E21" s="10" t="n">
        <x:v>4</x:v>
      </x:c>
      <x:c r="F21" s="10" t="n">
        <x:v>1384</x:v>
      </x:c>
      <x:c r="G21" s="10" t="n">
        <x:v>39.54</x:v>
      </x:c>
      <x:c r="H21" s="10" t="n">
        <x:v>5.34</x:v>
      </x:c>
      <x:c r="I21" s="10" t="n">
        <x:v>3</x:v>
      </x:c>
      <x:c r="J21" s="10" t="n">
        <x:v>11976</x:v>
      </x:c>
      <x:c r="K21" s="10" t="n">
        <x:v>190.1</x:v>
      </x:c>
      <x:c r="L21" s="10" t="n">
        <x:v>51.4</x:v>
      </x:c>
      <x:c r="M21" s="10" t="n">
        <x:f>F21+J21</x:f>
        <x:v>13360</x:v>
      </x:c>
    </x:row>
    <x:row r="22">
      <x:c r="A22" s="12" t="str">
        <x:v>65000</x:v>
      </x:c>
      <x:c r="B22" s="12" t="str">
        <x:v>貨櫃</x:v>
      </x:c>
      <x:c r="C22" s="12" t="str">
        <x:v>--</x:v>
      </x:c>
      <x:c r="D22" s="12" t="str">
        <x:v>--</x:v>
      </x:c>
      <x:c r="E22" s="10" t="n">
        <x:v>235</x:v>
      </x:c>
      <x:c r="F22" s="10" t="n">
        <x:v>2395120</x:v>
      </x:c>
      <x:c r="G22" s="10" t="n">
        <x:v>33265.56</x:v>
      </x:c>
      <x:c r="H22" s="10" t="n">
        <x:v>11459.9</x:v>
      </x:c>
      <x:c r="I22" s="10" t="n">
        <x:v>234</x:v>
      </x:c>
      <x:c r="J22" s="10" t="n">
        <x:v>2600910</x:v>
      </x:c>
      <x:c r="K22" s="10" t="n">
        <x:v>63436.83</x:v>
      </x:c>
      <x:c r="L22" s="10" t="n">
        <x:v>10042.12</x:v>
      </x:c>
      <x:c r="M22" s="10" t="n">
        <x:f>F22+J22</x:f>
        <x:v>4996030</x:v>
      </x:c>
    </x:row>
    <x:row r="23">
      <x:c r="A23" s="12" t="str">
        <x:v>66111</x:v>
      </x:c>
      <x:c r="B23" s="12" t="str">
        <x:v>管道貨/水泥</x:v>
      </x:c>
      <x:c r="C23" s="12" t="n">
        <x:v>6611101</x:v>
      </x:c>
      <x:c r="D23" s="12" t="str">
        <x:v>水泥(管道)</x:v>
      </x:c>
      <x:c r="E23" s="10" t="n">
        <x:v>0</x:v>
      </x:c>
      <x:c r="F23" s="10" t="n">
        <x:v>0</x:v>
      </x:c>
      <x:c r="G23" s="10" t="n">
        <x:v>0</x:v>
      </x:c>
      <x:c r="H23" s="10" t="n">
        <x:v>0</x:v>
      </x:c>
      <x:c r="I23" s="10" t="n">
        <x:v>3</x:v>
      </x:c>
      <x:c r="J23" s="10" t="n">
        <x:v>12174</x:v>
      </x:c>
      <x:c r="K23" s="10" t="n">
        <x:v>202.9</x:v>
      </x:c>
      <x:c r="L23" s="10" t="n">
        <x:v>45.77</x:v>
      </x:c>
      <x:c r="M23" s="10" t="n">
        <x:f>F23+J23</x:f>
        <x:v>12174</x:v>
      </x:c>
    </x:row>
    <x:row r="24">
      <x:c r="A24" s="12" t="str">
        <x:v>66399</x:v>
      </x:c>
      <x:c r="B24" s="12" t="str">
        <x:v>管道貨/其他液化品</x:v>
      </x:c>
      <x:c r="C24" s="12" t="n">
        <x:v>6639907</x:v>
      </x:c>
      <x:c r="D24" s="12" t="str">
        <x:v>乙二醇</x:v>
      </x:c>
      <x:c r="E24" s="10" t="n">
        <x:v>1</x:v>
      </x:c>
      <x:c r="F24" s="10" t="n">
        <x:v>2639</x:v>
      </x:c>
      <x:c r="G24" s="10" t="n">
        <x:v>65.97</x:v>
      </x:c>
      <x:c r="H24" s="10" t="n">
        <x:v>13.26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f>F24+J24</x:f>
        <x:v>2639</x:v>
      </x:c>
    </x:row>
    <x:row r="25">
      <x:c r="A25" s="12" t="str">
        <x:v>66411</x:v>
      </x:c>
      <x:c r="B25" s="12" t="str">
        <x:v>管道貨/石油</x:v>
      </x:c>
      <x:c r="C25" s="12" t="n">
        <x:v>6641111</x:v>
      </x:c>
      <x:c r="D25" s="12" t="str">
        <x:v>燃油</x:v>
      </x:c>
      <x:c r="E25" s="10" t="n">
        <x:v>1</x:v>
      </x:c>
      <x:c r="F25" s="10" t="n">
        <x:v>1022</x:v>
      </x:c>
      <x:c r="G25" s="10" t="n">
        <x:v>19.28</x:v>
      </x:c>
      <x:c r="H25" s="10" t="n">
        <x:v>6.35</x:v>
      </x:c>
      <x:c r="I25" s="10" t="n">
        <x:v>1</x:v>
      </x:c>
      <x:c r="J25" s="10" t="n">
        <x:v>2055</x:v>
      </x:c>
      <x:c r="K25" s="10" t="n">
        <x:v>54.08</x:v>
      </x:c>
      <x:c r="L25" s="10" t="n">
        <x:v>11.81</x:v>
      </x:c>
      <x:c r="M25" s="10" t="n">
        <x:f>F25+J25</x:f>
        <x:v>3077</x:v>
      </x:c>
    </x:row>
    <x:row r="26">
      <x:c r="A26" s="12" t="str">
        <x:v>66411</x:v>
      </x:c>
      <x:c r="B26" s="12" t="str">
        <x:v>管道貨/石油</x:v>
      </x:c>
      <x:c r="C26" s="12" t="n">
        <x:v>6641104</x:v>
      </x:c>
      <x:c r="D26" s="12" t="str">
        <x:v>汽油(管道貨)</x:v>
      </x:c>
      <x:c r="E26" s="10" t="n">
        <x:v>0</x:v>
      </x:c>
      <x:c r="F26" s="10" t="n">
        <x:v>0</x:v>
      </x:c>
      <x:c r="G26" s="10" t="n">
        <x:v>0</x:v>
      </x:c>
      <x:c r="H26" s="10" t="n">
        <x:v>0</x:v>
      </x:c>
      <x:c r="I26" s="10" t="n">
        <x:v>1</x:v>
      </x:c>
      <x:c r="J26" s="10" t="n">
        <x:v>3151</x:v>
      </x:c>
      <x:c r="K26" s="10" t="n">
        <x:v>70.02</x:v>
      </x:c>
      <x:c r="L26" s="10" t="n">
        <x:v>17.12</x:v>
      </x:c>
      <x:c r="M26" s="10" t="n">
        <x:f>F26+J26</x:f>
        <x:v>3151</x:v>
      </x:c>
    </x:row>
    <x:row r="27">
      <x:c r="A27" s="12" t="str">
        <x:v>66411</x:v>
      </x:c>
      <x:c r="B27" s="12" t="str">
        <x:v>管道貨/石油</x:v>
      </x:c>
      <x:c r="C27" s="12" t="n">
        <x:v>6641106</x:v>
      </x:c>
      <x:c r="D27" s="12" t="str">
        <x:v>柴油</x:v>
      </x:c>
      <x:c r="E27" s="10" t="n">
        <x:v>3</x:v>
      </x:c>
      <x:c r="F27" s="10" t="n">
        <x:v>4251</x:v>
      </x:c>
      <x:c r="G27" s="10" t="n">
        <x:v>73.29</x:v>
      </x:c>
      <x:c r="H27" s="10" t="n">
        <x:v>25.01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f>F27+J27</x:f>
        <x:v>4251</x:v>
      </x:c>
    </x:row>
  </x:sheetData>
  <x:pageMargins left="0.7" right="0.7" top="0.75" bottom="0.75" header="0.3" footer="0.3"/>
</x:worksheet>
</file>