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2e0fb00c146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輸入11510" sheetId="1" r:id="Re72c4688983743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3F7F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c621454fe5403d" /><Relationship Type="http://schemas.openxmlformats.org/officeDocument/2006/relationships/theme" Target="/xl/theme/theme1.xml" Id="Rda9c9714703a4599" /><Relationship Type="http://schemas.openxmlformats.org/officeDocument/2006/relationships/sharedStrings" Target="/xl/sharedStrings.xml" Id="Rd6d1191d618a4756" /><Relationship Type="http://schemas.openxmlformats.org/officeDocument/2006/relationships/worksheet" Target="/xl/worksheets/sheet1.xml" Id="Re72c4688983743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5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0" hidden="0" customWidth="1"/>
  </x:cols>
  <x:sheetData>
    <x:row r="1" ht="30" customHeight="1">
      <x:c r="A1" s="4" t="str">
        <x:v>115年10月｜散雜貨裝卸量模擬輸入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D2" t="str">
        <x:v>(115/10/1 ~ 115/10/31)</x:v>
      </x:c>
      <x:c r="H2" t="str">
        <x:v>裝卸貨物噸量 依貨物群組--含貨櫃</x:v>
      </x:c>
    </x:row>
    <x:row r="3" ht="24" customHeight="1">
      <x:c r="A3" s="8" t="str">
        <x:v>貨物群組代碼</x:v>
      </x:c>
      <x:c r="B3" s="8" t="str">
        <x:v>貨物群組名稱</x:v>
      </x:c>
      <x:c r="C3" s="8" t="str">
        <x:v>貨物代碼</x:v>
      </x:c>
      <x:c r="D3" s="8" t="str">
        <x:v>貨物名稱</x:v>
      </x:c>
      <x:c r="E3" s="8" t="str">
        <x:v>裝</x:v>
      </x:c>
      <x:c r="F3" s="8"/>
      <x:c r="G3" s="8"/>
      <x:c r="H3" s="8"/>
      <x:c r="I3" s="8" t="str">
        <x:v>卸</x:v>
      </x:c>
      <x:c r="J3" s="8"/>
      <x:c r="K3" s="8"/>
      <x:c r="L3" s="8"/>
      <x:c r="M3" s="8" t="str">
        <x:v>裝卸噸數合計</x:v>
      </x:c>
    </x:row>
    <x:row r="4" ht="24" customHeight="1">
      <x:c r="A4" s="8"/>
      <x:c r="B4" s="8"/>
      <x:c r="C4" s="8"/>
      <x:c r="D4" s="8"/>
      <x:c r="E4" s="8" t="str">
        <x:v>艘次</x:v>
      </x:c>
      <x:c r="F4" s="8" t="str">
        <x:v>噸數</x:v>
      </x:c>
      <x:c r="G4" s="8" t="str">
        <x:v>延人工時</x:v>
      </x:c>
      <x:c r="H4" s="8" t="str">
        <x:v>延機工時</x:v>
      </x:c>
      <x:c r="I4" s="8" t="str">
        <x:v>艘次</x:v>
      </x:c>
      <x:c r="J4" s="8" t="str">
        <x:v>噸數</x:v>
      </x:c>
      <x:c r="K4" s="8" t="str">
        <x:v>延人工時</x:v>
      </x:c>
      <x:c r="L4" s="8" t="str">
        <x:v>延機工時</x:v>
      </x:c>
      <x:c r="M4" s="8"/>
    </x:row>
    <x:row r="5">
      <x:c r="A5" s="12" t="str">
        <x:v>22111</x:v>
      </x:c>
      <x:c r="B5" s="12" t="str">
        <x:v>礦砂</x:v>
      </x:c>
      <x:c r="C5" s="12" t="n">
        <x:v>2211100</x:v>
      </x:c>
      <x:c r="D5" s="12" t="str">
        <x:v>其他金屬礦砂</x:v>
      </x:c>
      <x:c r="E5" s="10" t="n">
        <x:v>0</x:v>
      </x:c>
      <x:c r="F5" s="10" t="n">
        <x:v>0</x:v>
      </x:c>
      <x:c r="G5" s="10" t="n">
        <x:v>0</x:v>
      </x:c>
      <x:c r="H5" s="10" t="n">
        <x:v>0</x:v>
      </x:c>
      <x:c r="I5" s="10" t="n">
        <x:v>0</x:v>
      </x:c>
      <x:c r="J5" s="10" t="n">
        <x:v>0</x:v>
      </x:c>
      <x:c r="K5" s="10" t="n">
        <x:v>0</x:v>
      </x:c>
      <x:c r="L5" s="10" t="n">
        <x:v>0</x:v>
      </x:c>
      <x:c r="M5" s="10" t="n">
        <x:f>F5+J5</x:f>
        <x:v>0</x:v>
      </x:c>
    </x:row>
    <x:row r="6">
      <x:c r="A6" s="12" t="str">
        <x:v>22229</x:v>
      </x:c>
      <x:c r="B6" s="12" t="str">
        <x:v>砂礫</x:v>
      </x:c>
      <x:c r="C6" s="12" t="n">
        <x:v>2222903</x:v>
      </x:c>
      <x:c r="D6" s="12" t="str">
        <x:v>東砂</x:v>
      </x:c>
      <x:c r="E6" s="10" t="n">
        <x:v>3</x:v>
      </x:c>
      <x:c r="F6" s="10" t="n">
        <x:v>2178</x:v>
      </x:c>
      <x:c r="G6" s="10" t="n">
        <x:v>60.5</x:v>
      </x:c>
      <x:c r="H6" s="10" t="n">
        <x:v>8.57</x:v>
      </x:c>
      <x:c r="I6" s="10" t="n">
        <x:v>0</x:v>
      </x:c>
      <x:c r="J6" s="10" t="n">
        <x:v>0</x:v>
      </x:c>
      <x:c r="K6" s="10" t="n">
        <x:v>0</x:v>
      </x:c>
      <x:c r="L6" s="10" t="n">
        <x:v>0</x:v>
      </x:c>
      <x:c r="M6" s="10" t="n">
        <x:f>F6+J6</x:f>
        <x:v>2178</x:v>
      </x:c>
    </x:row>
    <x:row r="7">
      <x:c r="A7" s="12" t="str">
        <x:v>22229</x:v>
      </x:c>
      <x:c r="B7" s="12" t="str">
        <x:v>砂礫</x:v>
      </x:c>
      <x:c r="C7" s="12" t="n">
        <x:v>2222904</x:v>
      </x:c>
      <x:c r="D7" s="12" t="str">
        <x:v>東碎石</x:v>
      </x:c>
      <x:c r="E7" s="10" t="n">
        <x:v>3</x:v>
      </x:c>
      <x:c r="F7" s="10" t="n">
        <x:v>3975</x:v>
      </x:c>
      <x:c r="G7" s="10" t="n">
        <x:v>69.74</x:v>
      </x:c>
      <x:c r="H7" s="10" t="n">
        <x:v>23.25</x:v>
      </x:c>
      <x:c r="I7" s="10" t="n">
        <x:v>6</x:v>
      </x:c>
      <x:c r="J7" s="10" t="n">
        <x:v>25248</x:v>
      </x:c>
      <x:c r="K7" s="10" t="n">
        <x:v>360.69</x:v>
      </x:c>
      <x:c r="L7" s="10" t="n">
        <x:v>122.56</x:v>
      </x:c>
      <x:c r="M7" s="10" t="n">
        <x:f>F7+J7</x:f>
        <x:v>29223</x:v>
      </x:c>
    </x:row>
    <x:row r="8">
      <x:c r="A8" s="12" t="str">
        <x:v>22229</x:v>
      </x:c>
      <x:c r="B8" s="12" t="str">
        <x:v>砂礫</x:v>
      </x:c>
      <x:c r="C8" s="12" t="n">
        <x:v>2222900</x:v>
      </x:c>
      <x:c r="D8" s="12" t="str">
        <x:v>大陸砂</x:v>
      </x:c>
      <x:c r="E8" s="10" t="n">
        <x:v>0</x:v>
      </x:c>
      <x:c r="F8" s="10" t="n">
        <x:v>0</x:v>
      </x:c>
      <x:c r="G8" s="10" t="n">
        <x:v>0</x:v>
      </x:c>
      <x:c r="H8" s="10" t="n">
        <x:v>0</x:v>
      </x:c>
      <x:c r="I8" s="10" t="n">
        <x:v>0</x:v>
      </x:c>
      <x:c r="J8" s="10" t="n">
        <x:v>0</x:v>
      </x:c>
      <x:c r="K8" s="10" t="n">
        <x:v>0</x:v>
      </x:c>
      <x:c r="L8" s="10" t="n">
        <x:v>0</x:v>
      </x:c>
      <x:c r="M8" s="10" t="n">
        <x:f>F8+J8</x:f>
        <x:v>0</x:v>
      </x:c>
    </x:row>
    <x:row r="9">
      <x:c r="A9" s="12" t="str">
        <x:v>40411</x:v>
      </x:c>
      <x:c r="B9" s="12" t="str">
        <x:v>化學品等</x:v>
      </x:c>
      <x:c r="C9" s="12" t="n">
        <x:v>4041105</x:v>
      </x:c>
      <x:c r="D9" s="12" t="str">
        <x:v>石油焦</x:v>
      </x:c>
      <x:c r="E9" s="10" t="n">
        <x:v>4</x:v>
      </x:c>
      <x:c r="F9" s="10" t="n">
        <x:v>4580</x:v>
      </x:c>
      <x:c r="G9" s="10" t="n">
        <x:v>152.67</x:v>
      </x:c>
      <x:c r="H9" s="10" t="n">
        <x:v>25.59</x:v>
      </x:c>
      <x:c r="I9" s="10" t="n">
        <x:v>5</x:v>
      </x:c>
      <x:c r="J9" s="10" t="n">
        <x:v>21960</x:v>
      </x:c>
      <x:c r="K9" s="10" t="n">
        <x:v>385.26</x:v>
      </x:c>
      <x:c r="L9" s="10" t="n">
        <x:v>93.85</x:v>
      </x:c>
      <x:c r="M9" s="10" t="n">
        <x:f>F9+J9</x:f>
        <x:v>26540</x:v>
      </x:c>
    </x:row>
    <x:row r="10">
      <x:c r="A10" s="12" t="str">
        <x:v>43110</x:v>
      </x:c>
      <x:c r="B10" s="12" t="str">
        <x:v>生鐵</x:v>
      </x:c>
      <x:c r="C10" s="12" t="n">
        <x:v>4311000</x:v>
      </x:c>
      <x:c r="D10" s="12" t="str">
        <x:v>生鐵</x:v>
      </x:c>
      <x:c r="E10" s="10" t="n">
        <x:v>4</x:v>
      </x:c>
      <x:c r="F10" s="10" t="n">
        <x:v>4444</x:v>
      </x:c>
      <x:c r="G10" s="10" t="n">
        <x:v>66.33</x:v>
      </x:c>
      <x:c r="H10" s="10" t="n">
        <x:v>15.17</x:v>
      </x:c>
      <x:c r="I10" s="10" t="n">
        <x:v>6</x:v>
      </x:c>
      <x:c r="J10" s="10" t="n">
        <x:v>3936</x:v>
      </x:c>
      <x:c r="K10" s="10" t="n">
        <x:v>75.69</x:v>
      </x:c>
      <x:c r="L10" s="10" t="n">
        <x:v>19.98</x:v>
      </x:c>
      <x:c r="M10" s="10" t="n">
        <x:f>F10+J10</x:f>
        <x:v>8380</x:v>
      </x:c>
    </x:row>
    <x:row r="11">
      <x:c r="A11" s="12" t="str">
        <x:v>43340</x:v>
      </x:c>
      <x:c r="B11" s="12" t="str">
        <x:v>鐵材料</x:v>
      </x:c>
      <x:c r="C11" s="12" t="n">
        <x:v>4334000</x:v>
      </x:c>
      <x:c r="D11" s="12" t="str">
        <x:v>型鋼(鋼骨)</x:v>
      </x:c>
      <x:c r="E11" s="10" t="n">
        <x:v>3</x:v>
      </x:c>
      <x:c r="F11" s="10" t="n">
        <x:v>8553</x:v>
      </x:c>
      <x:c r="G11" s="10" t="n">
        <x:v>144.97</x:v>
      </x:c>
      <x:c r="H11" s="10" t="n">
        <x:v>50.31</x:v>
      </x:c>
      <x:c r="I11" s="10" t="n">
        <x:v>2</x:v>
      </x:c>
      <x:c r="J11" s="10" t="n">
        <x:v>5210</x:v>
      </x:c>
      <x:c r="K11" s="10" t="n">
        <x:v>72.36</x:v>
      </x:c>
      <x:c r="L11" s="10" t="n">
        <x:v>17.78</x:v>
      </x:c>
      <x:c r="M11" s="10" t="n">
        <x:f>F11+J11</x:f>
        <x:v>13763</x:v>
      </x:c>
    </x:row>
    <x:row r="12">
      <x:c r="A12" s="12" t="str">
        <x:v>43340</x:v>
      </x:c>
      <x:c r="B12" s="12" t="str">
        <x:v>鐵材料</x:v>
      </x:c>
      <x:c r="C12" s="12" t="n">
        <x:v>4334007</x:v>
      </x:c>
      <x:c r="D12" s="12" t="str">
        <x:v>鐵圈</x:v>
      </x:c>
      <x:c r="E12" s="10" t="n">
        <x:v>0</x:v>
      </x:c>
      <x:c r="F12" s="10" t="n">
        <x:v>0</x:v>
      </x:c>
      <x:c r="G12" s="10" t="n">
        <x:v>0</x:v>
      </x:c>
      <x:c r="H12" s="10" t="n">
        <x:v>0</x:v>
      </x:c>
      <x:c r="I12" s="10" t="n">
        <x:v>2</x:v>
      </x:c>
      <x:c r="J12" s="10" t="n">
        <x:v>1464</x:v>
      </x:c>
      <x:c r="K12" s="10" t="n">
        <x:v>22.52</x:v>
      </x:c>
      <x:c r="L12" s="10" t="n">
        <x:v>9.45</x:v>
      </x:c>
      <x:c r="M12" s="10" t="n">
        <x:f>F12+J12</x:f>
        <x:v>1464</x:v>
      </x:c>
    </x:row>
    <x:row r="13">
      <x:c r="A13" s="12" t="str">
        <x:v>43340</x:v>
      </x:c>
      <x:c r="B13" s="12" t="str">
        <x:v>鐵材料</x:v>
      </x:c>
      <x:c r="C13" s="12" t="n">
        <x:v>4334003</x:v>
      </x:c>
      <x:c r="D13" s="12" t="str">
        <x:v>鋼片、板</x:v>
      </x:c>
      <x:c r="E13" s="10" t="n">
        <x:v>2</x:v>
      </x:c>
      <x:c r="F13" s="10" t="n">
        <x:v>1502</x:v>
      </x:c>
      <x:c r="G13" s="10" t="n">
        <x:v>31.29</x:v>
      </x:c>
      <x:c r="H13" s="10" t="n">
        <x:v>9.63</x:v>
      </x:c>
      <x:c r="I13" s="10" t="n">
        <x:v>5</x:v>
      </x:c>
      <x:c r="J13" s="10" t="n">
        <x:v>19115</x:v>
      </x:c>
      <x:c r="K13" s="10" t="n">
        <x:v>261.85</x:v>
      </x:c>
      <x:c r="L13" s="10" t="n">
        <x:v>72.13</x:v>
      </x:c>
      <x:c r="M13" s="10" t="n">
        <x:f>F13+J13</x:f>
        <x:v>20617</x:v>
      </x:c>
    </x:row>
    <x:row r="14">
      <x:c r="A14" s="12" t="str">
        <x:v>43340</x:v>
      </x:c>
      <x:c r="B14" s="12" t="str">
        <x:v>鐵材料</x:v>
      </x:c>
      <x:c r="C14" s="12" t="n">
        <x:v>4334008</x:v>
      </x:c>
      <x:c r="D14" s="12" t="str">
        <x:v>鐵材料</x:v>
      </x:c>
      <x:c r="E14" s="10" t="n">
        <x:v>1</x:v>
      </x:c>
      <x:c r="F14" s="10" t="n">
        <x:v>2225</x:v>
      </x:c>
      <x:c r="G14" s="10" t="n">
        <x:v>41.2</x:v>
      </x:c>
      <x:c r="H14" s="10" t="n">
        <x:v>8.24</x:v>
      </x:c>
      <x:c r="I14" s="10" t="n">
        <x:v>0</x:v>
      </x:c>
      <x:c r="J14" s="10" t="n">
        <x:v>0</x:v>
      </x:c>
      <x:c r="K14" s="10" t="n">
        <x:v>0</x:v>
      </x:c>
      <x:c r="L14" s="10" t="n">
        <x:v>0</x:v>
      </x:c>
      <x:c r="M14" s="10" t="n">
        <x:f>F14+J14</x:f>
        <x:v>2225</x:v>
      </x:c>
    </x:row>
    <x:row r="15">
      <x:c r="A15" s="12" t="str">
        <x:v>44110</x:v>
      </x:c>
      <x:c r="B15" s="12" t="str">
        <x:v>鋼料五金等</x:v>
      </x:c>
      <x:c r="C15" s="12" t="n">
        <x:v>4411018</x:v>
      </x:c>
      <x:c r="D15" s="12" t="str">
        <x:v>鋼料五金等</x:v>
      </x:c>
      <x:c r="E15" s="10" t="n">
        <x:v>4</x:v>
      </x:c>
      <x:c r="F15" s="10" t="n">
        <x:v>5388</x:v>
      </x:c>
      <x:c r="G15" s="10" t="n">
        <x:v>85.52</x:v>
      </x:c>
      <x:c r="H15" s="10" t="n">
        <x:v>18.71</x:v>
      </x:c>
      <x:c r="I15" s="10" t="n">
        <x:v>3</x:v>
      </x:c>
      <x:c r="J15" s="10" t="n">
        <x:v>6129</x:v>
      </x:c>
      <x:c r="K15" s="10" t="n">
        <x:v>149.49</x:v>
      </x:c>
      <x:c r="L15" s="10" t="n">
        <x:v>20.78</x:v>
      </x:c>
      <x:c r="M15" s="10" t="n">
        <x:f>F15+J15</x:f>
        <x:v>11517</x:v>
      </x:c>
    </x:row>
    <x:row r="16">
      <x:c r="A16" s="12" t="str">
        <x:v>44110</x:v>
      </x:c>
      <x:c r="B16" s="12" t="str">
        <x:v>鋼料五金等</x:v>
      </x:c>
      <x:c r="C16" s="12" t="n">
        <x:v>4411017</x:v>
      </x:c>
      <x:c r="D16" s="12" t="str">
        <x:v>鋼軌</x:v>
      </x:c>
      <x:c r="E16" s="10" t="n">
        <x:v>0</x:v>
      </x:c>
      <x:c r="F16" s="10" t="n">
        <x:v>0</x:v>
      </x:c>
      <x:c r="G16" s="10" t="n">
        <x:v>0</x:v>
      </x:c>
      <x:c r="H16" s="10" t="n">
        <x:v>0</x:v>
      </x:c>
      <x:c r="I16" s="10" t="n">
        <x:v>0</x:v>
      </x:c>
      <x:c r="J16" s="10" t="n">
        <x:v>0</x:v>
      </x:c>
      <x:c r="K16" s="10" t="n">
        <x:v>0</x:v>
      </x:c>
      <x:c r="L16" s="10" t="n">
        <x:v>0</x:v>
      </x:c>
      <x:c r="M16" s="10" t="n">
        <x:f>F16+J16</x:f>
        <x:v>0</x:v>
      </x:c>
    </x:row>
    <x:row r="17">
      <x:c r="A17" s="12" t="str">
        <x:v>44110</x:v>
      </x:c>
      <x:c r="B17" s="12" t="str">
        <x:v>鋼料五金等</x:v>
      </x:c>
      <x:c r="C17" s="12" t="n">
        <x:v>4411011</x:v>
      </x:c>
      <x:c r="D17" s="12" t="str">
        <x:v>銅製品</x:v>
      </x:c>
      <x:c r="E17" s="10" t="n">
        <x:v>0</x:v>
      </x:c>
      <x:c r="F17" s="10" t="n">
        <x:v>0</x:v>
      </x:c>
      <x:c r="G17" s="10" t="n">
        <x:v>0</x:v>
      </x:c>
      <x:c r="H17" s="10" t="n">
        <x:v>0</x:v>
      </x:c>
      <x:c r="I17" s="10" t="n">
        <x:v>6</x:v>
      </x:c>
      <x:c r="J17" s="10" t="n">
        <x:v>15048</x:v>
      </x:c>
      <x:c r="K17" s="10" t="n">
        <x:v>367.02</x:v>
      </x:c>
      <x:c r="L17" s="10" t="n">
        <x:v>53.17</x:v>
      </x:c>
      <x:c r="M17" s="10" t="n">
        <x:f>F17+J17</x:f>
        <x:v>15048</x:v>
      </x:c>
    </x:row>
    <x:row r="18">
      <x:c r="A18" s="12" t="str">
        <x:v>44110</x:v>
      </x:c>
      <x:c r="B18" s="12" t="str">
        <x:v>鋼料五金等</x:v>
      </x:c>
      <x:c r="C18" s="12" t="n">
        <x:v>4411033</x:v>
      </x:c>
      <x:c r="D18" s="12" t="str">
        <x:v>鐵線圈</x:v>
      </x:c>
      <x:c r="E18" s="10" t="n">
        <x:v>4</x:v>
      </x:c>
      <x:c r="F18" s="10" t="n">
        <x:v>1700</x:v>
      </x:c>
      <x:c r="G18" s="10" t="n">
        <x:v>48.57</x:v>
      </x:c>
      <x:c r="H18" s="10" t="n">
        <x:v>8.59</x:v>
      </x:c>
      <x:c r="I18" s="10" t="n">
        <x:v>6</x:v>
      </x:c>
      <x:c r="J18" s="10" t="n">
        <x:v>8352</x:v>
      </x:c>
      <x:c r="K18" s="10" t="n">
        <x:v>170.45</x:v>
      </x:c>
      <x:c r="L18" s="10" t="n">
        <x:v>29.62</x:v>
      </x:c>
      <x:c r="M18" s="10" t="n">
        <x:f>F18+J18</x:f>
        <x:v>10052</x:v>
      </x:c>
    </x:row>
    <x:row r="19">
      <x:c r="A19" s="12" t="str">
        <x:v>44110</x:v>
      </x:c>
      <x:c r="B19" s="12" t="str">
        <x:v>鋼料五金等</x:v>
      </x:c>
      <x:c r="C19" s="12" t="n">
        <x:v>4411012</x:v>
      </x:c>
      <x:c r="D19" s="12" t="str">
        <x:v>銅錠</x:v>
      </x:c>
      <x:c r="E19" s="10" t="n">
        <x:v>0</x:v>
      </x:c>
      <x:c r="F19" s="10" t="n">
        <x:v>0</x:v>
      </x:c>
      <x:c r="G19" s="10" t="n">
        <x:v>0</x:v>
      </x:c>
      <x:c r="H19" s="10" t="n">
        <x:v>0</x:v>
      </x:c>
      <x:c r="I19" s="10" t="n">
        <x:v>6</x:v>
      </x:c>
      <x:c r="J19" s="10" t="n">
        <x:v>20958</x:v>
      </x:c>
      <x:c r="K19" s="10" t="n">
        <x:v>465.73</x:v>
      </x:c>
      <x:c r="L19" s="10" t="n">
        <x:v>112.07</x:v>
      </x:c>
      <x:c r="M19" s="10" t="n">
        <x:f>F19+J19</x:f>
        <x:v>20958</x:v>
      </x:c>
    </x:row>
    <x:row r="20">
      <x:c r="A20" s="12" t="str">
        <x:v>44110</x:v>
      </x:c>
      <x:c r="B20" s="12" t="str">
        <x:v>鋼料五金等</x:v>
      </x:c>
      <x:c r="C20" s="12" t="n">
        <x:v>4411021</x:v>
      </x:c>
      <x:c r="D20" s="12" t="str">
        <x:v>鋼鐵捲盤</x:v>
      </x:c>
      <x:c r="E20" s="10" t="n">
        <x:v>0</x:v>
      </x:c>
      <x:c r="F20" s="10" t="n">
        <x:v>0</x:v>
      </x:c>
      <x:c r="G20" s="10" t="n">
        <x:v>0</x:v>
      </x:c>
      <x:c r="H20" s="10" t="n">
        <x:v>0</x:v>
      </x:c>
      <x:c r="I20" s="10" t="n">
        <x:v>1</x:v>
      </x:c>
      <x:c r="J20" s="10" t="n">
        <x:v>3708</x:v>
      </x:c>
      <x:c r="K20" s="10" t="n">
        <x:v>88.29</x:v>
      </x:c>
      <x:c r="L20" s="10" t="n">
        <x:v>20.26</x:v>
      </x:c>
      <x:c r="M20" s="10" t="n">
        <x:f>F20+J20</x:f>
        <x:v>3708</x:v>
      </x:c>
    </x:row>
    <x:row r="21">
      <x:c r="A21" s="12" t="str">
        <x:v>47311</x:v>
      </x:c>
      <x:c r="B21" s="12" t="str">
        <x:v>汽車</x:v>
      </x:c>
      <x:c r="C21" s="12" t="n">
        <x:v>4731103</x:v>
      </x:c>
      <x:c r="D21" s="12" t="str">
        <x:v>特種車</x:v>
      </x:c>
      <x:c r="E21" s="10" t="n">
        <x:v>4</x:v>
      </x:c>
      <x:c r="F21" s="10" t="n">
        <x:v>7132</x:v>
      </x:c>
      <x:c r="G21" s="10" t="n">
        <x:v>230.06</x:v>
      </x:c>
      <x:c r="H21" s="10" t="n">
        <x:v>26.71</x:v>
      </x:c>
      <x:c r="I21" s="10" t="n">
        <x:v>3</x:v>
      </x:c>
      <x:c r="J21" s="10" t="n">
        <x:v>4419</x:v>
      </x:c>
      <x:c r="K21" s="10" t="n">
        <x:v>70.14</x:v>
      </x:c>
      <x:c r="L21" s="10" t="n">
        <x:v>27.97</x:v>
      </x:c>
      <x:c r="M21" s="10" t="n">
        <x:f>F21+J21</x:f>
        <x:v>11551</x:v>
      </x:c>
    </x:row>
    <x:row r="22">
      <x:c r="A22" s="12" t="str">
        <x:v>47311</x:v>
      </x:c>
      <x:c r="B22" s="12" t="str">
        <x:v>汽車</x:v>
      </x:c>
      <x:c r="C22" s="12" t="n">
        <x:v>4731104</x:v>
      </x:c>
      <x:c r="D22" s="12" t="str">
        <x:v>小型車輛</x:v>
      </x:c>
      <x:c r="E22" s="10" t="n">
        <x:v>0</x:v>
      </x:c>
      <x:c r="F22" s="10" t="n">
        <x:v>0</x:v>
      </x:c>
      <x:c r="G22" s="10" t="n">
        <x:v>0</x:v>
      </x:c>
      <x:c r="H22" s="10" t="n">
        <x:v>0</x:v>
      </x:c>
      <x:c r="I22" s="10" t="n">
        <x:v>5</x:v>
      </x:c>
      <x:c r="J22" s="10" t="n">
        <x:v>6675</x:v>
      </x:c>
      <x:c r="K22" s="10" t="n">
        <x:v>115.09</x:v>
      </x:c>
      <x:c r="L22" s="10" t="n">
        <x:v>43.34</x:v>
      </x:c>
      <x:c r="M22" s="10" t="n">
        <x:f>F22+J22</x:f>
        <x:v>6675</x:v>
      </x:c>
    </x:row>
    <x:row r="23">
      <x:c r="A23" s="12" t="str">
        <x:v>49811</x:v>
      </x:c>
      <x:c r="B23" s="12" t="str">
        <x:v>雜貨等</x:v>
      </x:c>
      <x:c r="C23" s="12" t="n">
        <x:v>4981107</x:v>
      </x:c>
      <x:c r="D23" s="12" t="str">
        <x:v>什貨</x:v>
      </x:c>
      <x:c r="E23" s="10" t="n">
        <x:v>1</x:v>
      </x:c>
      <x:c r="F23" s="10" t="n">
        <x:v>328</x:v>
      </x:c>
      <x:c r="G23" s="10" t="n">
        <x:v>6.69</x:v>
      </x:c>
      <x:c r="H23" s="10" t="n">
        <x:v>1.96</x:v>
      </x:c>
      <x:c r="I23" s="10" t="n">
        <x:v>6</x:v>
      </x:c>
      <x:c r="J23" s="10" t="n">
        <x:v>15636</x:v>
      </x:c>
      <x:c r="K23" s="10" t="n">
        <x:v>319.1</x:v>
      </x:c>
      <x:c r="L23" s="10" t="n">
        <x:v>86.39</x:v>
      </x:c>
      <x:c r="M23" s="10" t="n">
        <x:f>F23+J23</x:f>
        <x:v>15964</x:v>
      </x:c>
    </x:row>
    <x:row r="24">
      <x:c r="A24" s="12" t="str">
        <x:v>49811</x:v>
      </x:c>
      <x:c r="B24" s="12" t="str">
        <x:v>雜貨等</x:v>
      </x:c>
      <x:c r="C24" s="12" t="n">
        <x:v>4981100</x:v>
      </x:c>
      <x:c r="D24" s="12" t="str">
        <x:v>船用品</x:v>
      </x:c>
      <x:c r="E24" s="10" t="n">
        <x:v>3</x:v>
      </x:c>
      <x:c r="F24" s="10" t="n">
        <x:v>4431</x:v>
      </x:c>
      <x:c r="G24" s="10" t="n">
        <x:v>147.7</x:v>
      </x:c>
      <x:c r="H24" s="10" t="n">
        <x:v>17.24</x:v>
      </x:c>
      <x:c r="I24" s="10" t="n">
        <x:v>4</x:v>
      </x:c>
      <x:c r="J24" s="10" t="n">
        <x:v>3568</x:v>
      </x:c>
      <x:c r="K24" s="10" t="n">
        <x:v>77.57</x:v>
      </x:c>
      <x:c r="L24" s="10" t="n">
        <x:v>12.01</x:v>
      </x:c>
      <x:c r="M24" s="10" t="n">
        <x:f>F24+J24</x:f>
        <x:v>7999</x:v>
      </x:c>
    </x:row>
    <x:row r="25">
      <x:c r="A25" s="12" t="str">
        <x:v>65000</x:v>
      </x:c>
      <x:c r="B25" s="12" t="str">
        <x:v>貨櫃</x:v>
      </x:c>
      <x:c r="C25" s="12" t="str">
        <x:v>--</x:v>
      </x:c>
      <x:c r="D25" s="12" t="str">
        <x:v>--</x:v>
      </x:c>
      <x:c r="E25" s="10" t="n">
        <x:v>225</x:v>
      </x:c>
      <x:c r="F25" s="10" t="n">
        <x:v>2585250</x:v>
      </x:c>
      <x:c r="G25" s="10" t="n">
        <x:v>83395.16</x:v>
      </x:c>
      <x:c r="H25" s="10" t="n">
        <x:v>8914.66</x:v>
      </x:c>
      <x:c r="I25" s="10" t="n">
        <x:v>202</x:v>
      </x:c>
      <x:c r="J25" s="10" t="n">
        <x:v>2497932</x:v>
      </x:c>
      <x:c r="K25" s="10" t="n">
        <x:v>42337.83</x:v>
      </x:c>
      <x:c r="L25" s="10" t="n">
        <x:v>12809.91</x:v>
      </x:c>
      <x:c r="M25" s="10" t="n">
        <x:f>F25+J25</x:f>
        <x:v>5083182</x:v>
      </x:c>
    </x:row>
    <x:row r="26">
      <x:c r="A26" s="12" t="str">
        <x:v>66111</x:v>
      </x:c>
      <x:c r="B26" s="12" t="str">
        <x:v>管道貨/水泥</x:v>
      </x:c>
      <x:c r="C26" s="12" t="n">
        <x:v>6611101</x:v>
      </x:c>
      <x:c r="D26" s="12" t="str">
        <x:v>水泥(管道)</x:v>
      </x:c>
      <x:c r="E26" s="10" t="n">
        <x:v>0</x:v>
      </x:c>
      <x:c r="F26" s="10" t="n">
        <x:v>0</x:v>
      </x:c>
      <x:c r="G26" s="10" t="n">
        <x:v>0</x:v>
      </x:c>
      <x:c r="H26" s="10" t="n">
        <x:v>0</x:v>
      </x:c>
      <x:c r="I26" s="10" t="n">
        <x:v>1</x:v>
      </x:c>
      <x:c r="J26" s="10" t="n">
        <x:v>3306</x:v>
      </x:c>
      <x:c r="K26" s="10" t="n">
        <x:v>84.77</x:v>
      </x:c>
      <x:c r="L26" s="10" t="n">
        <x:v>12.43</x:v>
      </x:c>
      <x:c r="M26" s="10" t="n">
        <x:f>F26+J26</x:f>
        <x:v>3306</x:v>
      </x:c>
    </x:row>
    <x:row r="27">
      <x:c r="A27" s="12" t="str">
        <x:v>66411</x:v>
      </x:c>
      <x:c r="B27" s="12" t="str">
        <x:v>管道貨/石油</x:v>
      </x:c>
      <x:c r="C27" s="12" t="n">
        <x:v>6641111</x:v>
      </x:c>
      <x:c r="D27" s="12" t="str">
        <x:v>燃油</x:v>
      </x:c>
      <x:c r="E27" s="10" t="n">
        <x:v>3</x:v>
      </x:c>
      <x:c r="F27" s="10" t="n">
        <x:v>1905</x:v>
      </x:c>
      <x:c r="G27" s="10" t="n">
        <x:v>32.84</x:v>
      </x:c>
      <x:c r="H27" s="10" t="n">
        <x:v>6.59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f>F27+J27</x:f>
        <x:v>1905</x:v>
      </x:c>
    </x:row>
    <x:row r="28">
      <x:c r="A28" s="12" t="str">
        <x:v>66411</x:v>
      </x:c>
      <x:c r="B28" s="12" t="str">
        <x:v>管道貨/石油</x:v>
      </x:c>
      <x:c r="C28" s="12" t="n">
        <x:v>6641104</x:v>
      </x:c>
      <x:c r="D28" s="12" t="str">
        <x:v>汽油(管道貨)</x:v>
      </x:c>
      <x:c r="E28" s="10" t="n">
        <x:v>3</x:v>
      </x:c>
      <x:c r="F28" s="10" t="n">
        <x:v>4095</x:v>
      </x:c>
      <x:c r="G28" s="10" t="n">
        <x:v>136.5</x:v>
      </x:c>
      <x:c r="H28" s="10" t="n">
        <x:v>16.58</x:v>
      </x:c>
      <x:c r="I28" s="10" t="n">
        <x:v>6</x:v>
      </x:c>
      <x:c r="J28" s="10" t="n">
        <x:v>4242</x:v>
      </x:c>
      <x:c r="K28" s="10" t="n">
        <x:v>58.11</x:v>
      </x:c>
      <x:c r="L28" s="10" t="n">
        <x:v>21.53</x:v>
      </x:c>
      <x:c r="M28" s="10" t="n">
        <x:f>F28+J28</x:f>
        <x:v>8337</x:v>
      </x:c>
    </x:row>
    <x:row r="29">
      <x:c r="A29" s="12" t="str">
        <x:v>66411</x:v>
      </x:c>
      <x:c r="B29" s="12" t="str">
        <x:v>管道貨/石油</x:v>
      </x:c>
      <x:c r="C29" s="12" t="n">
        <x:v>6641106</x:v>
      </x:c>
      <x:c r="D29" s="12" t="str">
        <x:v>柴油</x:v>
      </x:c>
      <x:c r="E29" s="10" t="n">
        <x:v>2</x:v>
      </x:c>
      <x:c r="F29" s="10" t="n">
        <x:v>1920</x:v>
      </x:c>
      <x:c r="G29" s="10" t="n">
        <x:v>34.29</x:v>
      </x:c>
      <x:c r="H29" s="10" t="n">
        <x:v>6.64</x:v>
      </x:c>
      <x:c r="I29" s="10" t="n">
        <x:v>4</x:v>
      </x:c>
      <x:c r="J29" s="10" t="n">
        <x:v>5120</x:v>
      </x:c>
      <x:c r="K29" s="10" t="n">
        <x:v>71.11</x:v>
      </x:c>
      <x:c r="L29" s="10" t="n">
        <x:v>20.9</x:v>
      </x:c>
      <x:c r="M29" s="10" t="n">
        <x:f>F29+J29</x:f>
        <x:v>7040</x:v>
      </x:c>
    </x:row>
  </x:sheetData>
  <x:pageMargins left="0.7" right="0.7" top="0.75" bottom="0.75" header="0.3" footer="0.3"/>
</x:worksheet>
</file>